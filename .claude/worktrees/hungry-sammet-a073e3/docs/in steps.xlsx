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ezer\Downloads\"/>
    </mc:Choice>
  </mc:AlternateContent>
  <xr:revisionPtr revIDLastSave="0" documentId="13_ncr:1_{A8E91B34-75EC-44B5-801A-D33079890A13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tep 1" sheetId="8" r:id="rId1"/>
    <sheet name="step 2" sheetId="9" r:id="rId2"/>
    <sheet name="step 3" sheetId="7" r:id="rId3"/>
    <sheet name="Heuristic" sheetId="4" r:id="rId4"/>
    <sheet name="Actions" sheetId="3" r:id="rId5"/>
    <sheet name="Scenario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E12" i="9" s="1"/>
  <c r="D11" i="9"/>
  <c r="D10" i="9"/>
  <c r="E10" i="9" s="1"/>
  <c r="D7" i="9"/>
  <c r="E7" i="9" s="1"/>
  <c r="D6" i="9"/>
  <c r="E6" i="9" s="1"/>
  <c r="D5" i="9"/>
  <c r="E5" i="9" s="1"/>
  <c r="D4" i="9"/>
  <c r="E4" i="9" s="1"/>
  <c r="F4" i="9" s="1"/>
  <c r="G4" i="9" s="1"/>
  <c r="H4" i="9" s="1"/>
  <c r="I4" i="9" s="1"/>
  <c r="D3" i="9"/>
  <c r="E11" i="9" s="1"/>
  <c r="M2" i="9"/>
  <c r="E2" i="9"/>
  <c r="F10" i="9" s="1"/>
  <c r="D2" i="9"/>
  <c r="D12" i="8"/>
  <c r="E12" i="8" s="1"/>
  <c r="D11" i="8"/>
  <c r="D10" i="8"/>
  <c r="E10" i="8" s="1"/>
  <c r="D7" i="8"/>
  <c r="D6" i="8"/>
  <c r="E6" i="8" s="1"/>
  <c r="D5" i="8"/>
  <c r="D4" i="8"/>
  <c r="E4" i="8" s="1"/>
  <c r="F4" i="8" s="1"/>
  <c r="G4" i="8" s="1"/>
  <c r="H4" i="8" s="1"/>
  <c r="I4" i="8" s="1"/>
  <c r="D3" i="8"/>
  <c r="E11" i="8" s="1"/>
  <c r="M2" i="8"/>
  <c r="E2" i="8"/>
  <c r="F10" i="8" s="1"/>
  <c r="D2" i="8"/>
  <c r="D12" i="7"/>
  <c r="E12" i="7" s="1"/>
  <c r="D11" i="7"/>
  <c r="D10" i="7"/>
  <c r="D7" i="7"/>
  <c r="D6" i="7"/>
  <c r="D5" i="7"/>
  <c r="E5" i="7" s="1"/>
  <c r="D4" i="7"/>
  <c r="E4" i="7" s="1"/>
  <c r="F4" i="7" s="1"/>
  <c r="G4" i="7" s="1"/>
  <c r="H4" i="7" s="1"/>
  <c r="I4" i="7" s="1"/>
  <c r="D3" i="7"/>
  <c r="M2" i="7"/>
  <c r="D2" i="7"/>
  <c r="E2" i="7" s="1"/>
  <c r="M2" i="4"/>
  <c r="E2" i="4"/>
  <c r="F10" i="4"/>
  <c r="G10" i="4" s="1"/>
  <c r="H10" i="4" s="1"/>
  <c r="I10" i="4" s="1"/>
  <c r="E10" i="4"/>
  <c r="D5" i="4"/>
  <c r="I2" i="4"/>
  <c r="D12" i="4"/>
  <c r="D11" i="4"/>
  <c r="D10" i="4"/>
  <c r="D7" i="4"/>
  <c r="D6" i="4"/>
  <c r="E6" i="4" s="1"/>
  <c r="F6" i="4" s="1"/>
  <c r="D4" i="4"/>
  <c r="E4" i="4" s="1"/>
  <c r="F4" i="4" s="1"/>
  <c r="G4" i="4" s="1"/>
  <c r="H4" i="4" s="1"/>
  <c r="I4" i="4" s="1"/>
  <c r="D3" i="4"/>
  <c r="E3" i="4" s="1"/>
  <c r="D2" i="4"/>
  <c r="E11" i="7" l="1"/>
  <c r="E6" i="7"/>
  <c r="E7" i="7"/>
  <c r="E10" i="7"/>
  <c r="F10" i="7" s="1"/>
  <c r="E7" i="8"/>
  <c r="F5" i="9"/>
  <c r="F12" i="9"/>
  <c r="F7" i="9"/>
  <c r="F2" i="9"/>
  <c r="E3" i="9"/>
  <c r="E3" i="8"/>
  <c r="F2" i="8"/>
  <c r="E5" i="8"/>
  <c r="F5" i="7"/>
  <c r="F12" i="7"/>
  <c r="F7" i="7"/>
  <c r="F2" i="7"/>
  <c r="E3" i="7"/>
  <c r="E7" i="4"/>
  <c r="E11" i="4"/>
  <c r="F11" i="4" s="1"/>
  <c r="E5" i="4"/>
  <c r="F7" i="4" s="1"/>
  <c r="E12" i="4"/>
  <c r="F3" i="4"/>
  <c r="F2" i="4"/>
  <c r="F3" i="9" l="1"/>
  <c r="F11" i="9"/>
  <c r="G10" i="9"/>
  <c r="G2" i="9"/>
  <c r="G5" i="9"/>
  <c r="G12" i="9"/>
  <c r="F6" i="9"/>
  <c r="G6" i="9" s="1"/>
  <c r="F5" i="8"/>
  <c r="F12" i="8"/>
  <c r="G10" i="8"/>
  <c r="G2" i="8"/>
  <c r="F11" i="8"/>
  <c r="F3" i="8"/>
  <c r="F6" i="8"/>
  <c r="G6" i="8" s="1"/>
  <c r="F7" i="8"/>
  <c r="F3" i="7"/>
  <c r="F11" i="7"/>
  <c r="G2" i="7"/>
  <c r="G10" i="7"/>
  <c r="G5" i="7"/>
  <c r="G12" i="7"/>
  <c r="F6" i="7"/>
  <c r="G6" i="7" s="1"/>
  <c r="G11" i="4"/>
  <c r="G6" i="4"/>
  <c r="F5" i="4"/>
  <c r="G7" i="4" s="1"/>
  <c r="F12" i="4"/>
  <c r="G2" i="4"/>
  <c r="G5" i="4"/>
  <c r="G3" i="4"/>
  <c r="H11" i="4" s="1"/>
  <c r="H5" i="9" l="1"/>
  <c r="H12" i="9"/>
  <c r="G7" i="9"/>
  <c r="H10" i="9"/>
  <c r="H2" i="9"/>
  <c r="G3" i="9"/>
  <c r="G11" i="9"/>
  <c r="G7" i="8"/>
  <c r="H2" i="8"/>
  <c r="H10" i="8"/>
  <c r="G3" i="8"/>
  <c r="G11" i="8"/>
  <c r="G5" i="8"/>
  <c r="G12" i="8"/>
  <c r="H5" i="7"/>
  <c r="H12" i="7"/>
  <c r="G7" i="7"/>
  <c r="H2" i="7"/>
  <c r="H10" i="7"/>
  <c r="G3" i="7"/>
  <c r="G11" i="7"/>
  <c r="G12" i="4"/>
  <c r="H6" i="4"/>
  <c r="H7" i="4"/>
  <c r="H12" i="4"/>
  <c r="H3" i="4"/>
  <c r="I3" i="4" s="1"/>
  <c r="H5" i="4"/>
  <c r="I5" i="4" s="1"/>
  <c r="H2" i="4"/>
  <c r="H3" i="9" l="1"/>
  <c r="H11" i="9"/>
  <c r="H7" i="9"/>
  <c r="I2" i="9"/>
  <c r="M5" i="9" s="1"/>
  <c r="I10" i="9"/>
  <c r="I5" i="9"/>
  <c r="I12" i="9"/>
  <c r="H6" i="9"/>
  <c r="I6" i="9" s="1"/>
  <c r="M4" i="9" s="1"/>
  <c r="H12" i="8"/>
  <c r="H5" i="8"/>
  <c r="H3" i="8"/>
  <c r="H11" i="8"/>
  <c r="H6" i="8"/>
  <c r="I6" i="8" s="1"/>
  <c r="M4" i="8" s="1"/>
  <c r="I10" i="8"/>
  <c r="I2" i="8"/>
  <c r="M5" i="8" s="1"/>
  <c r="H7" i="8"/>
  <c r="H3" i="7"/>
  <c r="H11" i="7"/>
  <c r="I10" i="7"/>
  <c r="I2" i="7"/>
  <c r="M5" i="7" s="1"/>
  <c r="H7" i="7"/>
  <c r="I12" i="7"/>
  <c r="I5" i="7"/>
  <c r="H6" i="7"/>
  <c r="I6" i="7" s="1"/>
  <c r="M4" i="7" s="1"/>
  <c r="I6" i="4"/>
  <c r="I11" i="4"/>
  <c r="I7" i="4"/>
  <c r="B15" i="4" a="1"/>
  <c r="B15" i="4" s="1"/>
  <c r="I12" i="4"/>
  <c r="M5" i="4"/>
  <c r="M6" i="4"/>
  <c r="M3" i="4"/>
  <c r="M4" i="4"/>
  <c r="I7" i="9" l="1"/>
  <c r="I3" i="9"/>
  <c r="M6" i="9" s="1"/>
  <c r="I11" i="9"/>
  <c r="I5" i="8"/>
  <c r="I12" i="8"/>
  <c r="I7" i="8"/>
  <c r="M3" i="8" s="1"/>
  <c r="B15" i="8" a="1"/>
  <c r="B15" i="8" s="1"/>
  <c r="I3" i="8"/>
  <c r="M6" i="8" s="1"/>
  <c r="I11" i="8"/>
  <c r="I7" i="7"/>
  <c r="I3" i="7"/>
  <c r="M6" i="7" s="1"/>
  <c r="I11" i="7"/>
  <c r="M3" i="9" l="1"/>
  <c r="B15" i="9" a="1"/>
  <c r="B15" i="9" s="1"/>
  <c r="M3" i="7"/>
  <c r="B15" i="7" a="1"/>
  <c r="B1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<sst xmlns="http://schemas.openxmlformats.org/spreadsheetml/2006/main" count="207" uniqueCount="79">
  <si>
    <t>Standing up</t>
  </si>
  <si>
    <t>Temporal probabilistic heuristic example</t>
  </si>
  <si>
    <t>Goal</t>
  </si>
  <si>
    <t>Reach Outside House by deadline</t>
  </si>
  <si>
    <t>Deadline (steps)</t>
  </si>
  <si>
    <t>Initial state</t>
  </si>
  <si>
    <t>Inside house = true</t>
  </si>
  <si>
    <t>Sitting down = true</t>
  </si>
  <si>
    <t>Standing up = false</t>
  </si>
  <si>
    <t>Has key = false</t>
  </si>
  <si>
    <t>Has lockpick = false</t>
  </si>
  <si>
    <t>Door open = false</t>
  </si>
  <si>
    <t>In air = false</t>
  </si>
  <si>
    <t>Environment</t>
  </si>
  <si>
    <t>Door locked = true</t>
  </si>
  <si>
    <t>Window locked = true (ignored in this simplified sheet example)</t>
  </si>
  <si>
    <t>Notes</t>
  </si>
  <si>
    <t>This workbook uses a relaxed PRPG-style probability propagation.</t>
  </si>
  <si>
    <t>Facts persist once achieved: P(t+1)=P(t)+(1-P(t))*H.</t>
  </si>
  <si>
    <t>In air is reachable only by an explicit action after Standing up becomes true.</t>
  </si>
  <si>
    <t>Jump up / get in air has cost = 1; door-opening actions also each have cost = 1.</t>
  </si>
  <si>
    <t>Action</t>
  </si>
  <si>
    <t>Preconditions</t>
  </si>
  <si>
    <t>Effect</t>
  </si>
  <si>
    <t>Success p</t>
  </si>
  <si>
    <t>Delay</t>
  </si>
  <si>
    <t>Cost</t>
  </si>
  <si>
    <t>Comment</t>
  </si>
  <si>
    <t>Stand up</t>
  </si>
  <si>
    <t>None</t>
  </si>
  <si>
    <t>Deterministic</t>
  </si>
  <si>
    <t>Find key</t>
  </si>
  <si>
    <t>Has key</t>
  </si>
  <si>
    <t>Independent trial each step</t>
  </si>
  <si>
    <t>Find lockpick</t>
  </si>
  <si>
    <t>Has lockpick</t>
  </si>
  <si>
    <t>Jump up / get in air</t>
  </si>
  <si>
    <t>In air</t>
  </si>
  <si>
    <t>Explicit action: standing up -&gt; in air</t>
  </si>
  <si>
    <t>Open door with key</t>
  </si>
  <si>
    <t>Door open</t>
  </si>
  <si>
    <t>Cost 1</t>
  </si>
  <si>
    <t>Open door with lockpick</t>
  </si>
  <si>
    <t>Cost 1; probabilistic</t>
  </si>
  <si>
    <t>Jump from window</t>
  </si>
  <si>
    <t>Outside house</t>
  </si>
  <si>
    <t>Simplified; window lock ignored here</t>
  </si>
  <si>
    <t>Go through door</t>
  </si>
  <si>
    <t>Folded into outside-door term in heuristic</t>
  </si>
  <si>
    <t>Fact / score</t>
  </si>
  <si>
    <t>Base p</t>
  </si>
  <si>
    <t>t=0</t>
  </si>
  <si>
    <t>t=1</t>
  </si>
  <si>
    <t>t=2</t>
  </si>
  <si>
    <t>t=3</t>
  </si>
  <si>
    <t>t=4</t>
  </si>
  <si>
    <t>t=5</t>
  </si>
  <si>
    <t>t=6</t>
  </si>
  <si>
    <t>Meaning</t>
  </si>
  <si>
    <t>Summary</t>
  </si>
  <si>
    <t>Value</t>
  </si>
  <si>
    <t>Repeated search attempts</t>
  </si>
  <si>
    <t>Deadline</t>
  </si>
  <si>
    <t>P(outside by t=6)</t>
  </si>
  <si>
    <t>Stand-up action</t>
  </si>
  <si>
    <t>P(door open by t=6)</t>
  </si>
  <si>
    <t>Requires explicit Standing up -&gt; In air action</t>
  </si>
  <si>
    <t>P(has key by t=6)</t>
  </si>
  <si>
    <t>Via key or lockpick; door opening costs 1 step</t>
  </si>
  <si>
    <t>P(has lockpick by t=6)</t>
  </si>
  <si>
    <t>Via door or window jump; both consume 1 step</t>
  </si>
  <si>
    <t>Derived terms</t>
  </si>
  <si>
    <t>Door via key</t>
  </si>
  <si>
    <t>Key path contribution arriving at t</t>
  </si>
  <si>
    <t>Door via lockpick</t>
  </si>
  <si>
    <t>Lockpick path contribution arriving at t</t>
  </si>
  <si>
    <t>Window jump</t>
  </si>
  <si>
    <t>Window-jump contribution arriving at t</t>
  </si>
  <si>
    <t>Heuristic without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</si>
</sst>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</font>
    <font>
      <b/>
      <sz val="14"/>
      <color rgb="FFFFFFFF"/>
      <name val="Aptos Narrow"/>
    </font>
    <font>
      <b/>
      <sz val="11"/>
      <color rgb="FF12344D"/>
      <name val="Aptos Narrow"/>
    </font>
    <font>
      <b/>
      <sz val="11"/>
      <color rgb="FFFFFFFF"/>
      <name val="Aptos Narrow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4" fontId="2" fillId="3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09B6-CC18-4D13-B2EC-8D9A0C01BA85}">
  <dimension ref="A1:Z30"/>
  <sheetViews>
    <sheetView zoomScale="175" zoomScaleNormal="175" workbookViewId="0">
      <selection activeCell="A24" sqref="A24"/>
    </sheetView>
  </sheetViews>
  <sheetFormatPr defaultRowHeight="14.5" x14ac:dyDescent="0.35"/>
  <cols>
    <col min="1" max="1" width="24.1796875" customWidth="1"/>
    <col min="2" max="9" width="11" customWidth="1"/>
    <col min="10" max="10" width="26" customWidth="1"/>
    <col min="12" max="12" width="20" customWidth="1"/>
    <col min="13" max="13" width="14" customWidth="1"/>
  </cols>
  <sheetData>
    <row r="1" spans="1:26" ht="18.5" x14ac:dyDescent="0.4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2"/>
      <c r="L1" s="8" t="s">
        <v>59</v>
      </c>
      <c r="M1" s="8" t="s">
        <v>60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32</v>
      </c>
      <c r="B2" s="5">
        <v>0.3</v>
      </c>
      <c r="C2" s="5">
        <v>0</v>
      </c>
      <c r="D2" s="5">
        <f t="shared" ref="D2:H4" si="0">1-((1-C2)*(1-$B2))</f>
        <v>0.30000000000000004</v>
      </c>
      <c r="E2" s="5">
        <f>1-((1-D2)*(1-$B2))</f>
        <v>0.51</v>
      </c>
      <c r="F2" s="5">
        <f t="shared" si="0"/>
        <v>0.65700000000000003</v>
      </c>
      <c r="G2" s="5">
        <f t="shared" si="0"/>
        <v>0.75990000000000002</v>
      </c>
      <c r="H2" s="5">
        <f t="shared" si="0"/>
        <v>0.83193000000000006</v>
      </c>
      <c r="I2" s="5">
        <f>1-((1-H2)*(1-$B2))</f>
        <v>0.88235100000000011</v>
      </c>
      <c r="J2" s="2" t="s">
        <v>61</v>
      </c>
      <c r="K2" s="2"/>
      <c r="L2" s="2" t="s">
        <v>62</v>
      </c>
      <c r="M2" s="5">
        <f>Scenario!B3</f>
        <v>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35</v>
      </c>
      <c r="B3" s="5">
        <v>0.6</v>
      </c>
      <c r="C3" s="5">
        <v>0</v>
      </c>
      <c r="D3" s="5">
        <f t="shared" si="0"/>
        <v>0.6</v>
      </c>
      <c r="E3" s="5">
        <f>1-((1-D3)*(1-$B3))</f>
        <v>0.84</v>
      </c>
      <c r="F3" s="5">
        <f t="shared" si="0"/>
        <v>0.93599999999999994</v>
      </c>
      <c r="G3" s="5">
        <f t="shared" si="0"/>
        <v>0.97439999999999993</v>
      </c>
      <c r="H3" s="5">
        <f t="shared" si="0"/>
        <v>0.98975999999999997</v>
      </c>
      <c r="I3" s="5">
        <f>1-((1-H3)*(1-$B3))</f>
        <v>0.99590400000000001</v>
      </c>
      <c r="J3" s="2" t="s">
        <v>61</v>
      </c>
      <c r="K3" s="2"/>
      <c r="L3" s="2" t="s">
        <v>63</v>
      </c>
      <c r="M3" s="5">
        <f>I7</f>
        <v>0.99999995924869611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0</v>
      </c>
      <c r="B4" s="5">
        <v>1</v>
      </c>
      <c r="C4" s="5">
        <v>1</v>
      </c>
      <c r="D4" s="5">
        <f t="shared" si="0"/>
        <v>1</v>
      </c>
      <c r="E4" s="5">
        <f t="shared" si="0"/>
        <v>1</v>
      </c>
      <c r="F4" s="5">
        <f t="shared" si="0"/>
        <v>1</v>
      </c>
      <c r="G4" s="5">
        <f t="shared" si="0"/>
        <v>1</v>
      </c>
      <c r="H4" s="5">
        <f t="shared" si="0"/>
        <v>1</v>
      </c>
      <c r="I4" s="5">
        <f>1-((1-H4)*(1-$B4))</f>
        <v>1</v>
      </c>
      <c r="J4" s="2" t="s">
        <v>64</v>
      </c>
      <c r="K4" s="2"/>
      <c r="L4" s="2" t="s">
        <v>65</v>
      </c>
      <c r="M4" s="5">
        <f>I6</f>
        <v>0.99988854295909668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37</v>
      </c>
      <c r="B5" s="5">
        <v>1</v>
      </c>
      <c r="C5" s="5">
        <v>0</v>
      </c>
      <c r="D5" s="5">
        <f>1-((1-C5)*(1-C4*$B5))</f>
        <v>1</v>
      </c>
      <c r="E5" s="5">
        <f>1-((1-D5)*(1-D4*$B5))</f>
        <v>1</v>
      </c>
      <c r="F5" s="5">
        <f>1-((1-E5)*(1-E4*$B5))</f>
        <v>1</v>
      </c>
      <c r="G5" s="5">
        <f t="shared" ref="G5:H5" si="1">1-((1-F5)*(1-F4*$B5))</f>
        <v>1</v>
      </c>
      <c r="H5" s="5">
        <f t="shared" si="1"/>
        <v>1</v>
      </c>
      <c r="I5" s="5">
        <f>1-((1-H5)*(1-H4*$B5))</f>
        <v>1</v>
      </c>
      <c r="J5" s="2" t="s">
        <v>66</v>
      </c>
      <c r="K5" s="2"/>
      <c r="L5" s="2" t="s">
        <v>67</v>
      </c>
      <c r="M5" s="5">
        <f>I2</f>
        <v>0.88235100000000011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" x14ac:dyDescent="0.35">
      <c r="A6" s="2" t="s">
        <v>40</v>
      </c>
      <c r="B6" s="5"/>
      <c r="C6" s="5">
        <v>0</v>
      </c>
      <c r="D6" s="5">
        <f t="shared" ref="D6" si="2">1-(1-C6)*(1-C2*$B10)*(1-C3*$B11)</f>
        <v>0</v>
      </c>
      <c r="E6" s="5">
        <f>1-(1-D6)*(1-D2*$B10)*(1-D3*$B11)</f>
        <v>0.55200000000000005</v>
      </c>
      <c r="F6" s="5">
        <f>1-(1-E6)*(1-E2*$B10)*(1-E3*$B11)</f>
        <v>0.89111808000000003</v>
      </c>
      <c r="G6" s="5">
        <f>1-(1-F6)*(1-F2*$B10)*(1-F3*$B11)</f>
        <v>0.98362729503129598</v>
      </c>
      <c r="H6" s="5">
        <f>1-(1-G6)*(1-G2*$B10)*(1-G3*$B11)</f>
        <v>0.99836718392673418</v>
      </c>
      <c r="I6" s="5">
        <f>1-(1-H6)*(1-H2*$B10)*(1-H3*$B11)</f>
        <v>0.99988854295909668</v>
      </c>
      <c r="J6" s="2" t="s">
        <v>68</v>
      </c>
      <c r="K6" s="2"/>
      <c r="L6" s="2" t="s">
        <v>69</v>
      </c>
      <c r="M6" s="5">
        <f>I3</f>
        <v>0.99590400000000001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" x14ac:dyDescent="0.35">
      <c r="A7" s="2" t="s">
        <v>45</v>
      </c>
      <c r="B7" s="5"/>
      <c r="C7" s="5">
        <v>0</v>
      </c>
      <c r="D7" s="5">
        <f t="shared" ref="D7:H7" si="3">1-(1-C7)*(1-C6)*(1-C5*$B12)</f>
        <v>0</v>
      </c>
      <c r="E7" s="5">
        <f>1-(1-D7)*(1-D6)*(1-D5*$B12)</f>
        <v>0.5</v>
      </c>
      <c r="F7" s="5">
        <f>1-(1-E7)*(1-E6)*(1-E5*$B12)</f>
        <v>0.88800000000000001</v>
      </c>
      <c r="G7" s="5">
        <f>1-(1-F7)*(1-F6)*(1-F5*$B12)</f>
        <v>0.99390261248</v>
      </c>
      <c r="H7" s="5">
        <f t="shared" si="3"/>
        <v>0.99995008463652757</v>
      </c>
      <c r="I7" s="5">
        <f>1-(1-H7)*(1-H6)*(1-H5*$B12)</f>
        <v>0.99999995924869611</v>
      </c>
      <c r="J7" s="2" t="s">
        <v>70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5"/>
      <c r="C8" s="5"/>
      <c r="D8" s="5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 t="s">
        <v>71</v>
      </c>
      <c r="B9" s="6"/>
      <c r="C9" s="6"/>
      <c r="D9" s="6"/>
      <c r="E9" s="6"/>
      <c r="F9" s="6"/>
      <c r="G9" s="6"/>
      <c r="H9" s="6"/>
      <c r="I9" s="6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" x14ac:dyDescent="0.35">
      <c r="A10" s="2" t="s">
        <v>72</v>
      </c>
      <c r="B10" s="5">
        <v>1</v>
      </c>
      <c r="C10" s="5"/>
      <c r="D10" s="5">
        <f t="shared" ref="D10:D11" si="4">C2*$B10</f>
        <v>0</v>
      </c>
      <c r="E10" s="5">
        <f>1-(1-D2*$B10)*(1-D10)</f>
        <v>0.30000000000000004</v>
      </c>
      <c r="F10" s="5">
        <f t="shared" ref="F10:I11" si="5">1-(1-E2*$B10)*(1-E10)</f>
        <v>0.65700000000000003</v>
      </c>
      <c r="G10" s="5">
        <f t="shared" si="5"/>
        <v>0.882351</v>
      </c>
      <c r="H10" s="5">
        <f t="shared" si="5"/>
        <v>0.97175247509999996</v>
      </c>
      <c r="I10" s="5">
        <f t="shared" si="5"/>
        <v>0.99525243849005696</v>
      </c>
      <c r="J10" s="2" t="s">
        <v>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 x14ac:dyDescent="0.35">
      <c r="A11" s="2" t="s">
        <v>74</v>
      </c>
      <c r="B11" s="5">
        <v>0.6</v>
      </c>
      <c r="C11" s="5"/>
      <c r="D11" s="5">
        <f t="shared" si="4"/>
        <v>0</v>
      </c>
      <c r="E11" s="5">
        <f>1-(1-D3*$B11)*(1-D11)</f>
        <v>0.36</v>
      </c>
      <c r="F11" s="5">
        <f t="shared" si="5"/>
        <v>0.68256000000000006</v>
      </c>
      <c r="G11" s="5">
        <f>1-(1-F3*$B11)*(1-F11)</f>
        <v>0.86083430400000005</v>
      </c>
      <c r="H11" s="5">
        <f t="shared" si="5"/>
        <v>0.94219613650944001</v>
      </c>
      <c r="I11" s="5">
        <f t="shared" si="5"/>
        <v>0.97652330766648998</v>
      </c>
      <c r="J11" s="2" t="s">
        <v>75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" x14ac:dyDescent="0.35">
      <c r="A12" s="2" t="s">
        <v>76</v>
      </c>
      <c r="B12" s="5">
        <v>0.5</v>
      </c>
      <c r="C12" s="5"/>
      <c r="D12" s="5">
        <f t="shared" ref="D12" si="6">C5*$B12</f>
        <v>0</v>
      </c>
      <c r="E12" s="5">
        <f>1-(1-D5*$B12)*(1-D12)</f>
        <v>0.5</v>
      </c>
      <c r="F12" s="5">
        <f t="shared" ref="F12:I12" si="7">1-(1-E5*$B12)*(1-E12)</f>
        <v>0.75</v>
      </c>
      <c r="G12" s="5">
        <f t="shared" si="7"/>
        <v>0.875</v>
      </c>
      <c r="H12" s="5">
        <f t="shared" si="7"/>
        <v>0.9375</v>
      </c>
      <c r="I12" s="5">
        <f t="shared" si="7"/>
        <v>0.96875</v>
      </c>
      <c r="J12" s="2" t="s">
        <v>77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9" t="s">
        <v>78</v>
      </c>
      <c r="B15" s="5" cm="1">
        <f t="array" ref="B15">SUM(1-C7:I7)</f>
        <v>2.6181473436347762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conditionalFormatting sqref="C2:I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C471-D019-4F33-BA78-ACDE8DB4BF59}">
  <dimension ref="A1:Z30"/>
  <sheetViews>
    <sheetView zoomScale="175" zoomScaleNormal="175" workbookViewId="0">
      <selection activeCell="A23" sqref="A23"/>
    </sheetView>
  </sheetViews>
  <sheetFormatPr defaultRowHeight="14.5" x14ac:dyDescent="0.35"/>
  <cols>
    <col min="1" max="1" width="24.1796875" customWidth="1"/>
    <col min="2" max="9" width="11" customWidth="1"/>
    <col min="10" max="10" width="26" customWidth="1"/>
    <col min="12" max="12" width="20" customWidth="1"/>
    <col min="13" max="13" width="14" customWidth="1"/>
  </cols>
  <sheetData>
    <row r="1" spans="1:26" ht="18.5" x14ac:dyDescent="0.4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2"/>
      <c r="L1" s="8" t="s">
        <v>59</v>
      </c>
      <c r="M1" s="8" t="s">
        <v>60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32</v>
      </c>
      <c r="B2" s="5">
        <v>0.3</v>
      </c>
      <c r="C2" s="5">
        <v>0</v>
      </c>
      <c r="D2" s="5">
        <f t="shared" ref="D2:H4" si="0">1-((1-C2)*(1-$B2))</f>
        <v>0.30000000000000004</v>
      </c>
      <c r="E2" s="5">
        <f>1-((1-D2)*(1-$B2))</f>
        <v>0.51</v>
      </c>
      <c r="F2" s="5">
        <f t="shared" si="0"/>
        <v>0.65700000000000003</v>
      </c>
      <c r="G2" s="5">
        <f t="shared" si="0"/>
        <v>0.75990000000000002</v>
      </c>
      <c r="H2" s="5">
        <f t="shared" si="0"/>
        <v>0.83193000000000006</v>
      </c>
      <c r="I2" s="5">
        <f>1-((1-H2)*(1-$B2))</f>
        <v>0.88235100000000011</v>
      </c>
      <c r="J2" s="2" t="s">
        <v>61</v>
      </c>
      <c r="K2" s="2"/>
      <c r="L2" s="2" t="s">
        <v>62</v>
      </c>
      <c r="M2" s="5">
        <f>Scenario!B3</f>
        <v>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35</v>
      </c>
      <c r="B3" s="5">
        <v>0.6</v>
      </c>
      <c r="C3" s="5">
        <v>0</v>
      </c>
      <c r="D3" s="5">
        <f t="shared" si="0"/>
        <v>0.6</v>
      </c>
      <c r="E3" s="5">
        <f>1-((1-D3)*(1-$B3))</f>
        <v>0.84</v>
      </c>
      <c r="F3" s="5">
        <f t="shared" si="0"/>
        <v>0.93599999999999994</v>
      </c>
      <c r="G3" s="5">
        <f t="shared" si="0"/>
        <v>0.97439999999999993</v>
      </c>
      <c r="H3" s="5">
        <f t="shared" si="0"/>
        <v>0.98975999999999997</v>
      </c>
      <c r="I3" s="5">
        <f>1-((1-H3)*(1-$B3))</f>
        <v>0.99590400000000001</v>
      </c>
      <c r="J3" s="2" t="s">
        <v>61</v>
      </c>
      <c r="K3" s="2"/>
      <c r="L3" s="2" t="s">
        <v>63</v>
      </c>
      <c r="M3" s="5">
        <f>I7</f>
        <v>0.99999991849739223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0</v>
      </c>
      <c r="B4" s="5">
        <v>1</v>
      </c>
      <c r="C4" s="5">
        <v>0</v>
      </c>
      <c r="D4" s="5">
        <f t="shared" si="0"/>
        <v>1</v>
      </c>
      <c r="E4" s="5">
        <f t="shared" si="0"/>
        <v>1</v>
      </c>
      <c r="F4" s="5">
        <f t="shared" si="0"/>
        <v>1</v>
      </c>
      <c r="G4" s="5">
        <f t="shared" si="0"/>
        <v>1</v>
      </c>
      <c r="H4" s="5">
        <f t="shared" si="0"/>
        <v>1</v>
      </c>
      <c r="I4" s="5">
        <f>1-((1-H4)*(1-$B4))</f>
        <v>1</v>
      </c>
      <c r="J4" s="2" t="s">
        <v>64</v>
      </c>
      <c r="K4" s="2"/>
      <c r="L4" s="2" t="s">
        <v>65</v>
      </c>
      <c r="M4" s="5">
        <f>I6</f>
        <v>0.99988854295909668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37</v>
      </c>
      <c r="B5" s="5">
        <v>1</v>
      </c>
      <c r="C5" s="5">
        <v>0</v>
      </c>
      <c r="D5" s="5">
        <f>1-((1-C5)*(1-C4*$B5))</f>
        <v>0</v>
      </c>
      <c r="E5" s="5">
        <f>1-((1-D5)*(1-D4*$B5))</f>
        <v>1</v>
      </c>
      <c r="F5" s="5">
        <f>1-((1-E5)*(1-E4*$B5))</f>
        <v>1</v>
      </c>
      <c r="G5" s="5">
        <f t="shared" ref="G5:H5" si="1">1-((1-F5)*(1-F4*$B5))</f>
        <v>1</v>
      </c>
      <c r="H5" s="5">
        <f t="shared" si="1"/>
        <v>1</v>
      </c>
      <c r="I5" s="5">
        <f>1-((1-H5)*(1-H4*$B5))</f>
        <v>1</v>
      </c>
      <c r="J5" s="2" t="s">
        <v>66</v>
      </c>
      <c r="K5" s="2"/>
      <c r="L5" s="2" t="s">
        <v>67</v>
      </c>
      <c r="M5" s="5">
        <f>I2</f>
        <v>0.88235100000000011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" x14ac:dyDescent="0.35">
      <c r="A6" s="2" t="s">
        <v>40</v>
      </c>
      <c r="B6" s="5"/>
      <c r="C6" s="5">
        <v>0</v>
      </c>
      <c r="D6" s="5">
        <f t="shared" ref="D6" si="2">1-(1-C6)*(1-C2*$B10)*(1-C3*$B11)</f>
        <v>0</v>
      </c>
      <c r="E6" s="5">
        <f>1-(1-D6)*(1-D2*$B10)*(1-D3*$B11)</f>
        <v>0.55200000000000005</v>
      </c>
      <c r="F6" s="5">
        <f>1-(1-E6)*(1-E2*$B10)*(1-E3*$B11)</f>
        <v>0.89111808000000003</v>
      </c>
      <c r="G6" s="5">
        <f>1-(1-F6)*(1-F2*$B10)*(1-F3*$B11)</f>
        <v>0.98362729503129598</v>
      </c>
      <c r="H6" s="5">
        <f>1-(1-G6)*(1-G2*$B10)*(1-G3*$B11)</f>
        <v>0.99836718392673418</v>
      </c>
      <c r="I6" s="5">
        <f>1-(1-H6)*(1-H2*$B10)*(1-H3*$B11)</f>
        <v>0.99988854295909668</v>
      </c>
      <c r="J6" s="2" t="s">
        <v>68</v>
      </c>
      <c r="K6" s="2"/>
      <c r="L6" s="2" t="s">
        <v>69</v>
      </c>
      <c r="M6" s="5">
        <f>I3</f>
        <v>0.99590400000000001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" x14ac:dyDescent="0.35">
      <c r="A7" s="2" t="s">
        <v>45</v>
      </c>
      <c r="B7" s="5"/>
      <c r="C7" s="5">
        <v>0</v>
      </c>
      <c r="D7" s="5">
        <f t="shared" ref="D7:H7" si="3">1-(1-C7)*(1-C6)*(1-C5*$B12)</f>
        <v>0</v>
      </c>
      <c r="E7" s="5">
        <f>1-(1-D7)*(1-D6)*(1-D5*$B12)</f>
        <v>0</v>
      </c>
      <c r="F7" s="5">
        <f>1-(1-E7)*(1-E6)*(1-E5*$B12)</f>
        <v>0.77600000000000002</v>
      </c>
      <c r="G7" s="5">
        <f>1-(1-F7)*(1-F6)*(1-F5*$B12)</f>
        <v>0.98780522496000001</v>
      </c>
      <c r="H7" s="5">
        <f t="shared" si="3"/>
        <v>0.99990016927305514</v>
      </c>
      <c r="I7" s="5">
        <f>1-(1-H7)*(1-H6)*(1-H5*$B12)</f>
        <v>0.99999991849739223</v>
      </c>
      <c r="J7" s="2" t="s">
        <v>70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5"/>
      <c r="C8" s="5"/>
      <c r="D8" s="5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 t="s">
        <v>71</v>
      </c>
      <c r="B9" s="6"/>
      <c r="C9" s="6"/>
      <c r="D9" s="6"/>
      <c r="E9" s="6"/>
      <c r="F9" s="6"/>
      <c r="G9" s="6"/>
      <c r="H9" s="6"/>
      <c r="I9" s="6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" x14ac:dyDescent="0.35">
      <c r="A10" s="2" t="s">
        <v>72</v>
      </c>
      <c r="B10" s="5">
        <v>1</v>
      </c>
      <c r="C10" s="5"/>
      <c r="D10" s="5">
        <f t="shared" ref="D10:D11" si="4">C2*$B10</f>
        <v>0</v>
      </c>
      <c r="E10" s="5">
        <f>1-(1-D2*$B10)*(1-D10)</f>
        <v>0.30000000000000004</v>
      </c>
      <c r="F10" s="5">
        <f t="shared" ref="F10:I11" si="5">1-(1-E2*$B10)*(1-E10)</f>
        <v>0.65700000000000003</v>
      </c>
      <c r="G10" s="5">
        <f t="shared" si="5"/>
        <v>0.882351</v>
      </c>
      <c r="H10" s="5">
        <f t="shared" si="5"/>
        <v>0.97175247509999996</v>
      </c>
      <c r="I10" s="5">
        <f t="shared" si="5"/>
        <v>0.99525243849005696</v>
      </c>
      <c r="J10" s="2" t="s">
        <v>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 x14ac:dyDescent="0.35">
      <c r="A11" s="2" t="s">
        <v>74</v>
      </c>
      <c r="B11" s="5">
        <v>0.6</v>
      </c>
      <c r="C11" s="5"/>
      <c r="D11" s="5">
        <f t="shared" si="4"/>
        <v>0</v>
      </c>
      <c r="E11" s="5">
        <f>1-(1-D3*$B11)*(1-D11)</f>
        <v>0.36</v>
      </c>
      <c r="F11" s="5">
        <f t="shared" si="5"/>
        <v>0.68256000000000006</v>
      </c>
      <c r="G11" s="5">
        <f>1-(1-F3*$B11)*(1-F11)</f>
        <v>0.86083430400000005</v>
      </c>
      <c r="H11" s="5">
        <f t="shared" si="5"/>
        <v>0.94219613650944001</v>
      </c>
      <c r="I11" s="5">
        <f t="shared" si="5"/>
        <v>0.97652330766648998</v>
      </c>
      <c r="J11" s="2" t="s">
        <v>75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" x14ac:dyDescent="0.35">
      <c r="A12" s="2" t="s">
        <v>76</v>
      </c>
      <c r="B12" s="5">
        <v>0.5</v>
      </c>
      <c r="C12" s="5"/>
      <c r="D12" s="5">
        <f t="shared" ref="D12" si="6">C5*$B12</f>
        <v>0</v>
      </c>
      <c r="E12" s="5">
        <f>1-(1-D5*$B12)*(1-D12)</f>
        <v>0</v>
      </c>
      <c r="F12" s="5">
        <f t="shared" ref="F12:I12" si="7">1-(1-E5*$B12)*(1-E12)</f>
        <v>0.5</v>
      </c>
      <c r="G12" s="5">
        <f t="shared" si="7"/>
        <v>0.75</v>
      </c>
      <c r="H12" s="5">
        <f t="shared" si="7"/>
        <v>0.875</v>
      </c>
      <c r="I12" s="5">
        <f t="shared" si="7"/>
        <v>0.9375</v>
      </c>
      <c r="J12" s="2" t="s">
        <v>77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9" t="s">
        <v>78</v>
      </c>
      <c r="B15" s="5" cm="1">
        <f t="array" ref="B15">SUM(1-C7:I7)</f>
        <v>3.2362946872695528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conditionalFormatting sqref="C2:I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C08B-57DD-4EFE-8DE9-33B28F7B3B61}">
  <dimension ref="A1:Z30"/>
  <sheetViews>
    <sheetView tabSelected="1" zoomScale="175" zoomScaleNormal="175" workbookViewId="0">
      <selection activeCell="D19" sqref="D19"/>
    </sheetView>
  </sheetViews>
  <sheetFormatPr defaultRowHeight="14.5" x14ac:dyDescent="0.35"/>
  <cols>
    <col min="1" max="1" width="24.1796875" customWidth="1"/>
    <col min="2" max="9" width="11" customWidth="1"/>
    <col min="10" max="10" width="26" customWidth="1"/>
    <col min="12" max="12" width="20" customWidth="1"/>
    <col min="13" max="13" width="14" customWidth="1"/>
  </cols>
  <sheetData>
    <row r="1" spans="1:26" ht="18.5" x14ac:dyDescent="0.4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2"/>
      <c r="L1" s="8" t="s">
        <v>59</v>
      </c>
      <c r="M1" s="8" t="s">
        <v>60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32</v>
      </c>
      <c r="B2" s="5">
        <v>0.3</v>
      </c>
      <c r="C2" s="5">
        <v>0</v>
      </c>
      <c r="D2" s="5">
        <f t="shared" ref="D2:H4" si="0">1-((1-C2)*(1-$B2))</f>
        <v>0.30000000000000004</v>
      </c>
      <c r="E2" s="5">
        <f>1-((1-D2)*(1-$B2))</f>
        <v>0.51</v>
      </c>
      <c r="F2" s="5">
        <f t="shared" si="0"/>
        <v>0.65700000000000003</v>
      </c>
      <c r="G2" s="5">
        <f t="shared" si="0"/>
        <v>0.75990000000000002</v>
      </c>
      <c r="H2" s="5">
        <f t="shared" si="0"/>
        <v>0.83193000000000006</v>
      </c>
      <c r="I2" s="5">
        <f>1-((1-H2)*(1-$B2))</f>
        <v>0.88235100000000011</v>
      </c>
      <c r="J2" s="2" t="s">
        <v>61</v>
      </c>
      <c r="K2" s="2"/>
      <c r="L2" s="2" t="s">
        <v>62</v>
      </c>
      <c r="M2" s="5">
        <f>Scenario!B3</f>
        <v>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35</v>
      </c>
      <c r="B3" s="5">
        <v>0.6</v>
      </c>
      <c r="C3" s="5">
        <v>1</v>
      </c>
      <c r="D3" s="5">
        <f t="shared" si="0"/>
        <v>1</v>
      </c>
      <c r="E3" s="5">
        <f>1-((1-D3)*(1-$B3))</f>
        <v>1</v>
      </c>
      <c r="F3" s="5">
        <f t="shared" si="0"/>
        <v>1</v>
      </c>
      <c r="G3" s="5">
        <f t="shared" si="0"/>
        <v>1</v>
      </c>
      <c r="H3" s="5">
        <f t="shared" si="0"/>
        <v>1</v>
      </c>
      <c r="I3" s="5">
        <f>1-((1-H3)*(1-$B3))</f>
        <v>1</v>
      </c>
      <c r="J3" s="2" t="s">
        <v>61</v>
      </c>
      <c r="K3" s="2"/>
      <c r="L3" s="2" t="s">
        <v>63</v>
      </c>
      <c r="M3" s="5">
        <f>I7</f>
        <v>0.99999999994645228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0</v>
      </c>
      <c r="B4" s="5">
        <v>1</v>
      </c>
      <c r="C4" s="5">
        <v>0</v>
      </c>
      <c r="D4" s="5">
        <f t="shared" si="0"/>
        <v>1</v>
      </c>
      <c r="E4" s="5">
        <f t="shared" si="0"/>
        <v>1</v>
      </c>
      <c r="F4" s="5">
        <f t="shared" si="0"/>
        <v>1</v>
      </c>
      <c r="G4" s="5">
        <f t="shared" si="0"/>
        <v>1</v>
      </c>
      <c r="H4" s="5">
        <f t="shared" si="0"/>
        <v>1</v>
      </c>
      <c r="I4" s="5">
        <f>1-((1-H4)*(1-$B4))</f>
        <v>1</v>
      </c>
      <c r="J4" s="2" t="s">
        <v>64</v>
      </c>
      <c r="K4" s="2"/>
      <c r="L4" s="2" t="s">
        <v>65</v>
      </c>
      <c r="M4" s="5">
        <f>I6</f>
        <v>0.9999805539880553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37</v>
      </c>
      <c r="B5" s="5">
        <v>1</v>
      </c>
      <c r="C5" s="5">
        <v>0</v>
      </c>
      <c r="D5" s="5">
        <f>1-((1-C5)*(1-C4*$B5))</f>
        <v>0</v>
      </c>
      <c r="E5" s="5">
        <f>1-((1-D5)*(1-D4*$B5))</f>
        <v>1</v>
      </c>
      <c r="F5" s="5">
        <f>1-((1-E5)*(1-E4*$B5))</f>
        <v>1</v>
      </c>
      <c r="G5" s="5">
        <f t="shared" ref="G5:H5" si="1">1-((1-F5)*(1-F4*$B5))</f>
        <v>1</v>
      </c>
      <c r="H5" s="5">
        <f t="shared" si="1"/>
        <v>1</v>
      </c>
      <c r="I5" s="5">
        <f>1-((1-H5)*(1-H4*$B5))</f>
        <v>1</v>
      </c>
      <c r="J5" s="2" t="s">
        <v>66</v>
      </c>
      <c r="K5" s="2"/>
      <c r="L5" s="2" t="s">
        <v>67</v>
      </c>
      <c r="M5" s="5">
        <f>I2</f>
        <v>0.88235100000000011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" x14ac:dyDescent="0.35">
      <c r="A6" s="2" t="s">
        <v>40</v>
      </c>
      <c r="B6" s="5"/>
      <c r="C6" s="5">
        <v>0</v>
      </c>
      <c r="D6" s="5">
        <f t="shared" ref="D6" si="2">1-(1-C6)*(1-C2*$B10)*(1-C3*$B11)</f>
        <v>0.6</v>
      </c>
      <c r="E6" s="5">
        <f>1-(1-D6)*(1-D2*$B10)*(1-D3*$B11)</f>
        <v>0.88800000000000001</v>
      </c>
      <c r="F6" s="5">
        <f>1-(1-E6)*(1-E2*$B10)*(1-E3*$B11)</f>
        <v>0.97804800000000003</v>
      </c>
      <c r="G6" s="5">
        <f>1-(1-F6)*(1-F2*$B10)*(1-F3*$B11)</f>
        <v>0.99698818560000002</v>
      </c>
      <c r="H6" s="5">
        <f>1-(1-G6)*(1-G2*$B10)*(1-G3*$B11)</f>
        <v>0.99971074534502402</v>
      </c>
      <c r="I6" s="5">
        <f>1-(1-H6)*(1-H2*$B10)*(1-H3*$B11)</f>
        <v>0.9999805539880553</v>
      </c>
      <c r="J6" s="2" t="s">
        <v>68</v>
      </c>
      <c r="K6" s="2"/>
      <c r="L6" s="2" t="s">
        <v>69</v>
      </c>
      <c r="M6" s="5">
        <f>I3</f>
        <v>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" x14ac:dyDescent="0.35">
      <c r="A7" s="2" t="s">
        <v>45</v>
      </c>
      <c r="B7" s="5"/>
      <c r="C7" s="5">
        <v>0</v>
      </c>
      <c r="D7" s="5">
        <f t="shared" ref="D7:H7" si="3">1-(1-C7)*(1-C6)*(1-C5*$B12)</f>
        <v>0</v>
      </c>
      <c r="E7" s="5">
        <f>1-(1-D7)*(1-D6)*(1-D5*$B12)</f>
        <v>0.6</v>
      </c>
      <c r="F7" s="5">
        <f>1-(1-E7)*(1-E6)*(1-E5*$B12)</f>
        <v>0.97760000000000002</v>
      </c>
      <c r="G7" s="5">
        <f>1-(1-F7)*(1-F6)*(1-F5*$B12)</f>
        <v>0.99975413759999998</v>
      </c>
      <c r="H7" s="5">
        <f t="shared" si="3"/>
        <v>0.99999962975404166</v>
      </c>
      <c r="I7" s="5">
        <f>1-(1-H7)*(1-H6)*(1-H5*$B12)</f>
        <v>0.99999999994645228</v>
      </c>
      <c r="J7" s="2" t="s">
        <v>70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5"/>
      <c r="C8" s="5"/>
      <c r="D8" s="5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 t="s">
        <v>71</v>
      </c>
      <c r="B9" s="6"/>
      <c r="C9" s="6"/>
      <c r="D9" s="6"/>
      <c r="E9" s="6"/>
      <c r="F9" s="6"/>
      <c r="G9" s="6"/>
      <c r="H9" s="6"/>
      <c r="I9" s="6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" x14ac:dyDescent="0.35">
      <c r="A10" s="2" t="s">
        <v>72</v>
      </c>
      <c r="B10" s="5">
        <v>1</v>
      </c>
      <c r="C10" s="5"/>
      <c r="D10" s="5">
        <f t="shared" ref="D10:D11" si="4">C2*$B10</f>
        <v>0</v>
      </c>
      <c r="E10" s="5">
        <f>1-(1-D2*$B10)*(1-D10)</f>
        <v>0.30000000000000004</v>
      </c>
      <c r="F10" s="5">
        <f t="shared" ref="F10:I11" si="5">1-(1-E2*$B10)*(1-E10)</f>
        <v>0.65700000000000003</v>
      </c>
      <c r="G10" s="5">
        <f t="shared" si="5"/>
        <v>0.882351</v>
      </c>
      <c r="H10" s="5">
        <f t="shared" si="5"/>
        <v>0.97175247509999996</v>
      </c>
      <c r="I10" s="5">
        <f t="shared" si="5"/>
        <v>0.99525243849005696</v>
      </c>
      <c r="J10" s="2" t="s">
        <v>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 x14ac:dyDescent="0.35">
      <c r="A11" s="2" t="s">
        <v>74</v>
      </c>
      <c r="B11" s="5">
        <v>0.6</v>
      </c>
      <c r="C11" s="5"/>
      <c r="D11" s="5">
        <f t="shared" si="4"/>
        <v>0.6</v>
      </c>
      <c r="E11" s="5">
        <f>1-(1-D3*$B11)*(1-D11)</f>
        <v>0.84</v>
      </c>
      <c r="F11" s="5">
        <f t="shared" si="5"/>
        <v>0.93599999999999994</v>
      </c>
      <c r="G11" s="5">
        <f>1-(1-F3*$B11)*(1-F11)</f>
        <v>0.97439999999999993</v>
      </c>
      <c r="H11" s="5">
        <f t="shared" si="5"/>
        <v>0.98975999999999997</v>
      </c>
      <c r="I11" s="5">
        <f t="shared" si="5"/>
        <v>0.99590400000000001</v>
      </c>
      <c r="J11" s="2" t="s">
        <v>75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" x14ac:dyDescent="0.35">
      <c r="A12" s="2" t="s">
        <v>76</v>
      </c>
      <c r="B12" s="5">
        <v>0.5</v>
      </c>
      <c r="C12" s="5"/>
      <c r="D12" s="5">
        <f t="shared" ref="D12" si="6">C5*$B12</f>
        <v>0</v>
      </c>
      <c r="E12" s="5">
        <f>1-(1-D5*$B12)*(1-D12)</f>
        <v>0</v>
      </c>
      <c r="F12" s="5">
        <f t="shared" ref="F12:I12" si="7">1-(1-E5*$B12)*(1-E12)</f>
        <v>0.5</v>
      </c>
      <c r="G12" s="5">
        <f t="shared" si="7"/>
        <v>0.75</v>
      </c>
      <c r="H12" s="5">
        <f t="shared" si="7"/>
        <v>0.875</v>
      </c>
      <c r="I12" s="5">
        <f t="shared" si="7"/>
        <v>0.9375</v>
      </c>
      <c r="J12" s="2" t="s">
        <v>77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9" t="s">
        <v>78</v>
      </c>
      <c r="B15" s="5" cm="1">
        <f t="array" ref="B15">SUM(1-C7:I7)</f>
        <v>2.4226462326995057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conditionalFormatting sqref="C2:I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"/>
  <sheetViews>
    <sheetView topLeftCell="A9" zoomScale="175" zoomScaleNormal="175" workbookViewId="0">
      <selection activeCell="K12" sqref="K12"/>
    </sheetView>
  </sheetViews>
  <sheetFormatPr defaultRowHeight="14.5" x14ac:dyDescent="0.35"/>
  <cols>
    <col min="1" max="1" width="24.1796875" customWidth="1"/>
    <col min="2" max="9" width="11" customWidth="1"/>
    <col min="10" max="10" width="26" customWidth="1"/>
    <col min="12" max="12" width="20" customWidth="1"/>
    <col min="13" max="13" width="14" customWidth="1"/>
  </cols>
  <sheetData>
    <row r="1" spans="1:26" ht="18.5" x14ac:dyDescent="0.4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2"/>
      <c r="L1" s="8" t="s">
        <v>59</v>
      </c>
      <c r="M1" s="8" t="s">
        <v>60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32</v>
      </c>
      <c r="B2" s="5">
        <v>0.3</v>
      </c>
      <c r="C2" s="5">
        <v>0</v>
      </c>
      <c r="D2" s="5">
        <f t="shared" ref="D2:H4" si="0">1-((1-C2)*(1-$B2))</f>
        <v>0.30000000000000004</v>
      </c>
      <c r="E2" s="5">
        <f>1-((1-D2)*(1-$B2))</f>
        <v>0.51</v>
      </c>
      <c r="F2" s="5">
        <f t="shared" si="0"/>
        <v>0.65700000000000003</v>
      </c>
      <c r="G2" s="5">
        <f t="shared" si="0"/>
        <v>0.75990000000000002</v>
      </c>
      <c r="H2" s="5">
        <f t="shared" si="0"/>
        <v>0.83193000000000006</v>
      </c>
      <c r="I2" s="5">
        <f>1-((1-H2)*(1-$B2))</f>
        <v>0.88235100000000011</v>
      </c>
      <c r="J2" s="2" t="s">
        <v>61</v>
      </c>
      <c r="K2" s="2"/>
      <c r="L2" s="2" t="s">
        <v>62</v>
      </c>
      <c r="M2" s="5">
        <f>Scenario!B3</f>
        <v>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 t="s">
        <v>35</v>
      </c>
      <c r="B3" s="5">
        <v>0.6</v>
      </c>
      <c r="C3" s="5">
        <v>0</v>
      </c>
      <c r="D3" s="5">
        <f t="shared" si="0"/>
        <v>0.6</v>
      </c>
      <c r="E3" s="5">
        <f>1-((1-D3)*(1-$B3))</f>
        <v>0.84</v>
      </c>
      <c r="F3" s="5">
        <f t="shared" si="0"/>
        <v>0.93599999999999994</v>
      </c>
      <c r="G3" s="5">
        <f t="shared" si="0"/>
        <v>0.97439999999999993</v>
      </c>
      <c r="H3" s="5">
        <f t="shared" si="0"/>
        <v>0.98975999999999997</v>
      </c>
      <c r="I3" s="5">
        <f>1-((1-H3)*(1-$B3))</f>
        <v>0.99590400000000001</v>
      </c>
      <c r="J3" s="2" t="s">
        <v>61</v>
      </c>
      <c r="K3" s="2"/>
      <c r="L3" s="2" t="s">
        <v>63</v>
      </c>
      <c r="M3" s="5">
        <f>I7</f>
        <v>0.99999991849739223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0</v>
      </c>
      <c r="B4" s="5">
        <v>1</v>
      </c>
      <c r="C4" s="5">
        <v>0</v>
      </c>
      <c r="D4" s="5">
        <f t="shared" si="0"/>
        <v>1</v>
      </c>
      <c r="E4" s="5">
        <f t="shared" si="0"/>
        <v>1</v>
      </c>
      <c r="F4" s="5">
        <f t="shared" si="0"/>
        <v>1</v>
      </c>
      <c r="G4" s="5">
        <f t="shared" si="0"/>
        <v>1</v>
      </c>
      <c r="H4" s="5">
        <f t="shared" si="0"/>
        <v>1</v>
      </c>
      <c r="I4" s="5">
        <f>1-((1-H4)*(1-$B4))</f>
        <v>1</v>
      </c>
      <c r="J4" s="2" t="s">
        <v>64</v>
      </c>
      <c r="K4" s="2"/>
      <c r="L4" s="2" t="s">
        <v>65</v>
      </c>
      <c r="M4" s="5">
        <f>I6</f>
        <v>0.99988854295909668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37</v>
      </c>
      <c r="B5" s="5">
        <v>1</v>
      </c>
      <c r="C5" s="5">
        <v>0</v>
      </c>
      <c r="D5" s="5">
        <f>1-((1-C5)*(1-C4*$B5))</f>
        <v>0</v>
      </c>
      <c r="E5" s="5">
        <f>1-((1-D5)*(1-D4*$B5))</f>
        <v>1</v>
      </c>
      <c r="F5" s="5">
        <f>1-((1-E5)*(1-E4*$B5))</f>
        <v>1</v>
      </c>
      <c r="G5" s="5">
        <f t="shared" ref="G5:H5" si="1">1-((1-F5)*(1-F4*$B5))</f>
        <v>1</v>
      </c>
      <c r="H5" s="5">
        <f t="shared" si="1"/>
        <v>1</v>
      </c>
      <c r="I5" s="5">
        <f>1-((1-H5)*(1-H4*$B5))</f>
        <v>1</v>
      </c>
      <c r="J5" s="2" t="s">
        <v>66</v>
      </c>
      <c r="K5" s="2"/>
      <c r="L5" s="2" t="s">
        <v>67</v>
      </c>
      <c r="M5" s="5">
        <f>I2</f>
        <v>0.88235100000000011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9" x14ac:dyDescent="0.35">
      <c r="A6" s="2" t="s">
        <v>40</v>
      </c>
      <c r="B6" s="5"/>
      <c r="C6" s="5">
        <v>0</v>
      </c>
      <c r="D6" s="5">
        <f t="shared" ref="D6" si="2">1-(1-C6)*(1-C2*$B10)*(1-C3*$B11)</f>
        <v>0</v>
      </c>
      <c r="E6" s="5">
        <f>1-(1-D6)*(1-D2*$B10)*(1-D3*$B11)</f>
        <v>0.55200000000000005</v>
      </c>
      <c r="F6" s="5">
        <f>1-(1-E6)*(1-E2*$B10)*(1-E3*$B11)</f>
        <v>0.89111808000000003</v>
      </c>
      <c r="G6" s="5">
        <f>1-(1-F6)*(1-F2*$B10)*(1-F3*$B11)</f>
        <v>0.98362729503129598</v>
      </c>
      <c r="H6" s="5">
        <f>1-(1-G6)*(1-G2*$B10)*(1-G3*$B11)</f>
        <v>0.99836718392673418</v>
      </c>
      <c r="I6" s="5">
        <f>1-(1-H6)*(1-H2*$B10)*(1-H3*$B11)</f>
        <v>0.99988854295909668</v>
      </c>
      <c r="J6" s="2" t="s">
        <v>68</v>
      </c>
      <c r="K6" s="2"/>
      <c r="L6" s="2" t="s">
        <v>69</v>
      </c>
      <c r="M6" s="5">
        <f>I3</f>
        <v>0.99590400000000001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" x14ac:dyDescent="0.35">
      <c r="A7" s="2" t="s">
        <v>45</v>
      </c>
      <c r="B7" s="5"/>
      <c r="C7" s="5">
        <v>0</v>
      </c>
      <c r="D7" s="5">
        <f t="shared" ref="D7:H7" si="3">1-(1-C7)*(1-C6)*(1-C5*$B12)</f>
        <v>0</v>
      </c>
      <c r="E7" s="5">
        <f>1-(1-D7)*(1-D6)*(1-D5*$B12)</f>
        <v>0</v>
      </c>
      <c r="F7" s="5">
        <f>1-(1-E7)*(1-E6)*(1-E5*$B12)</f>
        <v>0.77600000000000002</v>
      </c>
      <c r="G7" s="5">
        <f>1-(1-F7)*(1-F6)*(1-F5*$B12)</f>
        <v>0.98780522496000001</v>
      </c>
      <c r="H7" s="5">
        <f t="shared" si="3"/>
        <v>0.99990016927305514</v>
      </c>
      <c r="I7" s="5">
        <f>1-(1-H7)*(1-H6)*(1-H5*$B12)</f>
        <v>0.99999991849739223</v>
      </c>
      <c r="J7" s="2" t="s">
        <v>70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5"/>
      <c r="C8" s="5"/>
      <c r="D8" s="5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 t="s">
        <v>71</v>
      </c>
      <c r="B9" s="6"/>
      <c r="C9" s="6"/>
      <c r="D9" s="6"/>
      <c r="E9" s="6"/>
      <c r="F9" s="6"/>
      <c r="G9" s="6"/>
      <c r="H9" s="6"/>
      <c r="I9" s="6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" x14ac:dyDescent="0.35">
      <c r="A10" s="2" t="s">
        <v>72</v>
      </c>
      <c r="B10" s="5">
        <v>1</v>
      </c>
      <c r="C10" s="5"/>
      <c r="D10" s="5">
        <f t="shared" ref="D10:D11" si="4">C2*$B10</f>
        <v>0</v>
      </c>
      <c r="E10" s="5">
        <f>1-(1-D2*$B10)*(1-D10)</f>
        <v>0.30000000000000004</v>
      </c>
      <c r="F10" s="5">
        <f t="shared" ref="F10:I10" si="5">1-(1-E2*$B10)*(1-E10)</f>
        <v>0.65700000000000003</v>
      </c>
      <c r="G10" s="5">
        <f t="shared" si="5"/>
        <v>0.882351</v>
      </c>
      <c r="H10" s="5">
        <f t="shared" si="5"/>
        <v>0.97175247509999996</v>
      </c>
      <c r="I10" s="5">
        <f t="shared" si="5"/>
        <v>0.99525243849005696</v>
      </c>
      <c r="J10" s="2" t="s">
        <v>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 x14ac:dyDescent="0.35">
      <c r="A11" s="2" t="s">
        <v>74</v>
      </c>
      <c r="B11" s="5">
        <v>0.6</v>
      </c>
      <c r="C11" s="5"/>
      <c r="D11" s="5">
        <f t="shared" si="4"/>
        <v>0</v>
      </c>
      <c r="E11" s="5">
        <f>1-(1-D3*$B11)*(1-D11)</f>
        <v>0.36</v>
      </c>
      <c r="F11" s="5">
        <f t="shared" ref="F11:I11" si="6">1-(1-E3*$B11)*(1-E11)</f>
        <v>0.68256000000000006</v>
      </c>
      <c r="G11" s="5">
        <f>1-(1-F3*$B11)*(1-F11)</f>
        <v>0.86083430400000005</v>
      </c>
      <c r="H11" s="5">
        <f t="shared" si="6"/>
        <v>0.94219613650944001</v>
      </c>
      <c r="I11" s="5">
        <f t="shared" si="6"/>
        <v>0.97652330766648998</v>
      </c>
      <c r="J11" s="2" t="s">
        <v>75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" x14ac:dyDescent="0.35">
      <c r="A12" s="2" t="s">
        <v>76</v>
      </c>
      <c r="B12" s="5">
        <v>0.5</v>
      </c>
      <c r="C12" s="5"/>
      <c r="D12" s="5">
        <f t="shared" ref="D12" si="7">C5*$B12</f>
        <v>0</v>
      </c>
      <c r="E12" s="5">
        <f>1-(1-D5*$B12)*(1-D12)</f>
        <v>0</v>
      </c>
      <c r="F12" s="5">
        <f t="shared" ref="F12:I12" si="8">1-(1-E5*$B12)*(1-E12)</f>
        <v>0.5</v>
      </c>
      <c r="G12" s="5">
        <f t="shared" si="8"/>
        <v>0.75</v>
      </c>
      <c r="H12" s="5">
        <f t="shared" si="8"/>
        <v>0.875</v>
      </c>
      <c r="I12" s="5">
        <f t="shared" si="8"/>
        <v>0.9375</v>
      </c>
      <c r="J12" s="2" t="s">
        <v>77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9" t="s">
        <v>78</v>
      </c>
      <c r="B15" s="5" cm="1">
        <f t="array" ref="B15">SUM(1-C7:I7)</f>
        <v>3.2362946872695528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conditionalFormatting sqref="C2:I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"/>
  <sheetViews>
    <sheetView zoomScale="220" zoomScaleNormal="220" workbookViewId="0">
      <selection activeCell="D13" sqref="D13"/>
    </sheetView>
  </sheetViews>
  <sheetFormatPr defaultRowHeight="14.5" x14ac:dyDescent="0.35"/>
  <cols>
    <col min="1" max="7" width="18" customWidth="1"/>
  </cols>
  <sheetData>
    <row r="1" spans="1:26" ht="18.5" x14ac:dyDescent="0.4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 t="s">
        <v>28</v>
      </c>
      <c r="B2" s="2" t="s">
        <v>29</v>
      </c>
      <c r="C2" s="2" t="s">
        <v>0</v>
      </c>
      <c r="D2" s="7">
        <v>1</v>
      </c>
      <c r="E2" s="7">
        <v>1</v>
      </c>
      <c r="F2" s="7">
        <v>1</v>
      </c>
      <c r="G2" s="2" t="s">
        <v>30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9" x14ac:dyDescent="0.35">
      <c r="A3" s="2" t="s">
        <v>31</v>
      </c>
      <c r="B3" s="2" t="s">
        <v>29</v>
      </c>
      <c r="C3" s="2" t="s">
        <v>32</v>
      </c>
      <c r="D3" s="7">
        <v>0.3</v>
      </c>
      <c r="E3" s="7">
        <v>1</v>
      </c>
      <c r="F3" s="7">
        <v>1</v>
      </c>
      <c r="G3" s="2" t="s">
        <v>33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" x14ac:dyDescent="0.35">
      <c r="A4" s="2" t="s">
        <v>34</v>
      </c>
      <c r="B4" s="2" t="s">
        <v>29</v>
      </c>
      <c r="C4" s="2" t="s">
        <v>35</v>
      </c>
      <c r="D4" s="7">
        <v>0.6</v>
      </c>
      <c r="E4" s="7">
        <v>1</v>
      </c>
      <c r="F4" s="7">
        <v>1</v>
      </c>
      <c r="G4" s="2" t="s">
        <v>33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" x14ac:dyDescent="0.35">
      <c r="A5" s="2" t="s">
        <v>36</v>
      </c>
      <c r="B5" s="2" t="s">
        <v>0</v>
      </c>
      <c r="C5" s="2" t="s">
        <v>37</v>
      </c>
      <c r="D5" s="7">
        <v>1</v>
      </c>
      <c r="E5" s="7">
        <v>1</v>
      </c>
      <c r="F5" s="7">
        <v>1</v>
      </c>
      <c r="G5" s="2" t="s">
        <v>38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39</v>
      </c>
      <c r="B6" s="2" t="s">
        <v>32</v>
      </c>
      <c r="C6" s="2" t="s">
        <v>40</v>
      </c>
      <c r="D6" s="7">
        <v>1</v>
      </c>
      <c r="E6" s="7">
        <v>1</v>
      </c>
      <c r="F6" s="7">
        <v>1</v>
      </c>
      <c r="G6" s="2" t="s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" x14ac:dyDescent="0.35">
      <c r="A7" s="2" t="s">
        <v>42</v>
      </c>
      <c r="B7" s="2" t="s">
        <v>35</v>
      </c>
      <c r="C7" s="2" t="s">
        <v>40</v>
      </c>
      <c r="D7" s="7">
        <v>0.6</v>
      </c>
      <c r="E7" s="7">
        <v>1</v>
      </c>
      <c r="F7" s="7">
        <v>1</v>
      </c>
      <c r="G7" s="2" t="s">
        <v>43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9" x14ac:dyDescent="0.35">
      <c r="A8" s="2" t="s">
        <v>44</v>
      </c>
      <c r="B8" s="2" t="s">
        <v>37</v>
      </c>
      <c r="C8" s="2" t="s">
        <v>45</v>
      </c>
      <c r="D8" s="7">
        <v>0.5</v>
      </c>
      <c r="E8" s="7">
        <v>1</v>
      </c>
      <c r="F8" s="7">
        <v>1</v>
      </c>
      <c r="G8" s="2" t="s">
        <v>46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3.5" x14ac:dyDescent="0.35">
      <c r="A9" s="2" t="s">
        <v>47</v>
      </c>
      <c r="B9" s="2" t="s">
        <v>40</v>
      </c>
      <c r="C9" s="2" t="s">
        <v>45</v>
      </c>
      <c r="D9" s="7">
        <v>1</v>
      </c>
      <c r="E9" s="7">
        <v>1</v>
      </c>
      <c r="F9" s="7">
        <v>1</v>
      </c>
      <c r="G9" s="2" t="s">
        <v>48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"/>
  <sheetViews>
    <sheetView workbookViewId="0"/>
  </sheetViews>
  <sheetFormatPr defaultRowHeight="14.5" x14ac:dyDescent="0.35"/>
  <cols>
    <col min="1" max="2" width="28" customWidth="1"/>
  </cols>
  <sheetData>
    <row r="1" spans="1:26" ht="37" x14ac:dyDescent="0.45">
      <c r="A1" s="1" t="s">
        <v>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" x14ac:dyDescent="0.35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3" t="s">
        <v>4</v>
      </c>
      <c r="B3" s="3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3"/>
      <c r="B5" s="3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3"/>
      <c r="B6" s="3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3"/>
      <c r="B7" s="3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3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3"/>
      <c r="B9" s="3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3"/>
      <c r="B10" s="3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3" t="s">
        <v>13</v>
      </c>
      <c r="B11" s="3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3.5" x14ac:dyDescent="0.35">
      <c r="A12" s="3"/>
      <c r="B12" s="3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3.5" x14ac:dyDescent="0.35">
      <c r="A13" s="3" t="s">
        <v>16</v>
      </c>
      <c r="B13" s="3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9" x14ac:dyDescent="0.35">
      <c r="A14" s="3"/>
      <c r="B14" s="3" t="s">
        <v>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3.5" x14ac:dyDescent="0.35">
      <c r="A15" s="3"/>
      <c r="B15" s="3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3.5" x14ac:dyDescent="0.35">
      <c r="A16" s="2"/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 1</vt:lpstr>
      <vt:lpstr>step 2</vt:lpstr>
      <vt:lpstr>step 3</vt:lpstr>
      <vt:lpstr>Heuristic</vt:lpstr>
      <vt:lpstr>Actions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</dc:creator>
  <cp:lastModifiedBy>אליעזר רווח</cp:lastModifiedBy>
  <dcterms:created xsi:type="dcterms:W3CDTF">2026-04-07T18:34:31Z</dcterms:created>
  <dcterms:modified xsi:type="dcterms:W3CDTF">2026-04-10T08:56:01Z</dcterms:modified>
</cp:coreProperties>
</file>